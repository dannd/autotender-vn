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17699b3d5306f16/Laptop to PC/4. Mua sắm/Năm 2026/2. Theo gói/7. Máy tính/8. E-HSMT (CNTT) 2026/1. E-HSMT mua sắm CHCT - Mới theo 54/"/>
    </mc:Choice>
  </mc:AlternateContent>
  <xr:revisionPtr revIDLastSave="46" documentId="13_ncr:1_{9994DDAB-5C9B-4792-9E88-FCAD4737C99E}" xr6:coauthVersionLast="47" xr6:coauthVersionMax="47" xr10:uidLastSave="{FEEE51C9-B96E-46C2-8CE3-C2E683EA9C84}"/>
  <bookViews>
    <workbookView xWindow="-120" yWindow="-120" windowWidth="29040" windowHeight="15720" tabRatio="451" xr2:uid="{00000000-000D-0000-FFFF-FFFF00000000}"/>
  </bookViews>
  <sheets>
    <sheet name="TH giá dự thầu" sheetId="12" r:id="rId1"/>
  </sheets>
  <definedNames>
    <definedName name="_xlnm._FilterDatabase" localSheetId="0" hidden="1">'TH giá dự thầu'!#REF!</definedName>
    <definedName name="_xlnm.Print_Area" localSheetId="0">'TH giá dự thầu'!$A$1:$K$52</definedName>
    <definedName name="_xlnm.Print_Titles" localSheetId="0">'TH giá dự thầu'!$3:$4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6" i="12" l="1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" i="12"/>
  <c r="K51" i="12" l="1"/>
</calcChain>
</file>

<file path=xl/sharedStrings.xml><?xml version="1.0" encoding="utf-8"?>
<sst xmlns="http://schemas.openxmlformats.org/spreadsheetml/2006/main" count="117" uniqueCount="75">
  <si>
    <t>STT</t>
  </si>
  <si>
    <t>Khối lượng mời thầu</t>
  </si>
  <si>
    <t>Đơn vị tính</t>
  </si>
  <si>
    <t>BẢNG TỔNG HỢP GIÁ DỰ THẦU</t>
  </si>
  <si>
    <t>Cái</t>
  </si>
  <si>
    <t>(1)</t>
  </si>
  <si>
    <t>(2)</t>
  </si>
  <si>
    <t>(3)</t>
  </si>
  <si>
    <t>(4)</t>
  </si>
  <si>
    <t>(5)</t>
  </si>
  <si>
    <t>(6) = (4)x(5)</t>
  </si>
  <si>
    <t>Ký mã hiệu</t>
  </si>
  <si>
    <t>Nhãn hiệu</t>
  </si>
  <si>
    <t>Năm sản xuất</t>
  </si>
  <si>
    <t>Xuất xứ (quốc gia, vùng lãnh thổ)</t>
  </si>
  <si>
    <t>Hãng sản xuất</t>
  </si>
  <si>
    <r>
      <t xml:space="preserve">Đơn giá dự thầu </t>
    </r>
    <r>
      <rPr>
        <i/>
        <sz val="12"/>
        <rFont val="Times New Roman"/>
        <family val="1"/>
      </rPr>
      <t>(đã bao gồm thuế, phí, lệ phí (nếu có))</t>
    </r>
  </si>
  <si>
    <r>
      <t xml:space="preserve">Thành tiền </t>
    </r>
    <r>
      <rPr>
        <i/>
        <sz val="12"/>
        <rFont val="Times New Roman"/>
        <family val="1"/>
      </rPr>
      <t>(đã bao gồm thuế, phí, lệ phí (nếu có))</t>
    </r>
  </si>
  <si>
    <t>Danh mục hàng hóa</t>
  </si>
  <si>
    <t>Tổng cộng giá dự thầu của hàng hóa đã bao gồm thuế, phí, lệ phí (nếu có)</t>
  </si>
  <si>
    <r>
      <t xml:space="preserve">Số tiền bằng chữ: </t>
    </r>
    <r>
      <rPr>
        <i/>
        <sz val="12"/>
        <rFont val="Times New Roman"/>
        <family val="1"/>
      </rPr>
      <t>{Ghi số tiền bằng chữ}</t>
    </r>
  </si>
  <si>
    <t>Ổ cứng HDD 4TB</t>
  </si>
  <si>
    <t>Ổ cứng di động</t>
  </si>
  <si>
    <t>Card màn hình 16gb</t>
  </si>
  <si>
    <t>Card màn hình 6gb</t>
  </si>
  <si>
    <t>Switch 8 port</t>
  </si>
  <si>
    <t>Switch 24 port</t>
  </si>
  <si>
    <t>Switch 48 port</t>
  </si>
  <si>
    <t>PoE Switch 16 cổng</t>
  </si>
  <si>
    <t>Bộ kiểm soát wifi tập trung</t>
  </si>
  <si>
    <t>Bộ chuyển nguồn 220VDC to 48 VDC/30A  tại các TBA 110kV</t>
  </si>
  <si>
    <t>Thiết Bị Mạng network module</t>
  </si>
  <si>
    <t>Module quang SFP 10G single mode 120km</t>
  </si>
  <si>
    <t>Module quang SFP 10G single mode 80km</t>
  </si>
  <si>
    <t>Module quang SFP 10G single mode 20km</t>
  </si>
  <si>
    <t>Module quang SFP 10G mutil mode 300m</t>
  </si>
  <si>
    <t>Module quang SFP 1Gb 80km 1 sợi quang</t>
  </si>
  <si>
    <t>converter quang 80km</t>
  </si>
  <si>
    <t>Webcam và loa kèm mic để bàn</t>
  </si>
  <si>
    <t>Cáp chuyển đổi từ Mini Displayport sang HDMI</t>
  </si>
  <si>
    <t>Máy in tem nhãn</t>
  </si>
  <si>
    <t>Tủ đựng pin + phụ kiện đầy đủ</t>
  </si>
  <si>
    <t>Dây cáp mạng CAT6</t>
  </si>
  <si>
    <t>Hạt mạng CAT6</t>
  </si>
  <si>
    <t>Pin lithium 48V-100AH</t>
  </si>
  <si>
    <t>Inverter 6kVA - 48VDC</t>
  </si>
  <si>
    <t>Bộ chuyển đổi giao thức</t>
  </si>
  <si>
    <t>Dây cáp mạng CAT6 (nội bộ)</t>
  </si>
  <si>
    <t>Bộ Outlet (Đế + mặt 1 lỗ + nhân mạng)</t>
  </si>
  <si>
    <t>Bộ ổ cắm Wifi ( Đế + mặt 1 lỗ + nhân mạng + 1 ổ cắm đơn )</t>
  </si>
  <si>
    <t>Cáp quang 4Fo</t>
  </si>
  <si>
    <t>Ghen hộp 60 x 40 mm</t>
  </si>
  <si>
    <t>Ghen hộp 39 x 18 mm</t>
  </si>
  <si>
    <t>Đầu ghi hình IP 32 kênh</t>
  </si>
  <si>
    <t>Camera IP 4MP thân trụ có Micro</t>
  </si>
  <si>
    <t>Dây cáp mạng CAT5</t>
  </si>
  <si>
    <t>Dây cáp quang ngoài trời có lõi chịu lực</t>
  </si>
  <si>
    <t>Converter quang Gigabit 10/100/1000</t>
  </si>
  <si>
    <t>Ổ cứng Camera 6TB</t>
  </si>
  <si>
    <t xml:space="preserve">Switch POE 16 Port </t>
  </si>
  <si>
    <t xml:space="preserve">Switch POE 8 Port </t>
  </si>
  <si>
    <t xml:space="preserve">Switch POE 5 Port </t>
  </si>
  <si>
    <t>Hạt mạng CAT5</t>
  </si>
  <si>
    <t>Hộp kỹ thuật lắp Camera</t>
  </si>
  <si>
    <t>Phụ kiện lắp đặt: Hạt điện, phích cắm điện, dây điện, ổ điện, dây HDMI, đai ốc, vít nở..vv</t>
  </si>
  <si>
    <t>Router 4G</t>
  </si>
  <si>
    <t>Anten GSM</t>
  </si>
  <si>
    <t>Thùng 305m</t>
  </si>
  <si>
    <t>Hộp</t>
  </si>
  <si>
    <t>Bình</t>
  </si>
  <si>
    <t>Bộ</t>
  </si>
  <si>
    <t>Mét</t>
  </si>
  <si>
    <t>Chiếc</t>
  </si>
  <si>
    <t>Hạt</t>
  </si>
  <si>
    <t>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</si>
</sst>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0"/>
  </numFmts>
  <fonts count="15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  <charset val="1"/>
    </font>
    <font>
      <sz val="12"/>
      <name val=".VnTime"/>
      <family val="2"/>
    </font>
    <font>
      <sz val="11"/>
      <color theme="1"/>
      <name val="Calibri"/>
      <family val="2"/>
      <scheme val="minor"/>
    </font>
    <font>
      <sz val="10"/>
      <name val="VNI-Helve-Condense"/>
    </font>
    <font>
      <sz val="10"/>
      <name val="Arial"/>
      <family val="2"/>
    </font>
    <font>
      <sz val="11"/>
      <color rgb="FF000000"/>
      <name val="Times New Roman"/>
      <family val="2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name val="VnCentury Schoolbook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b/>
      <u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0" fontId="2" fillId="0" borderId="0"/>
    <xf numFmtId="0" fontId="3" fillId="0" borderId="0"/>
    <xf numFmtId="0" fontId="5" fillId="0" borderId="0"/>
    <xf numFmtId="0" fontId="6" fillId="0" borderId="0"/>
    <xf numFmtId="0" fontId="7" fillId="0" borderId="0">
      <alignment horizontal="left" vertical="center" wrapText="1"/>
    </xf>
    <xf numFmtId="165" fontId="7" fillId="0" borderId="0">
      <alignment horizontal="right" vertical="center"/>
    </xf>
    <xf numFmtId="0" fontId="7" fillId="0" borderId="0">
      <alignment horizontal="center" vertical="center" wrapText="1"/>
    </xf>
    <xf numFmtId="0" fontId="3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4" fillId="0" borderId="0"/>
    <xf numFmtId="0" fontId="4" fillId="0" borderId="0"/>
    <xf numFmtId="0" fontId="10" fillId="0" borderId="0"/>
    <xf numFmtId="0" fontId="3" fillId="0" borderId="0"/>
    <xf numFmtId="0" fontId="4" fillId="0" borderId="0"/>
    <xf numFmtId="164" fontId="6" fillId="0" borderId="0" applyFont="0" applyFill="0" applyBorder="0" applyAlignment="0" applyProtection="0"/>
    <xf numFmtId="0" fontId="3" fillId="0" borderId="0"/>
    <xf numFmtId="0" fontId="6" fillId="0" borderId="0"/>
  </cellStyleXfs>
  <cellXfs count="20">
    <xf numFmtId="0" fontId="0" fillId="0" borderId="0" xfId="0"/>
    <xf numFmtId="0" fontId="1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/>
    </xf>
    <xf numFmtId="0" fontId="1" fillId="0" borderId="1" xfId="13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vertical="center" wrapText="1"/>
    </xf>
    <xf numFmtId="3" fontId="1" fillId="0" borderId="1" xfId="20" applyNumberFormat="1" applyFont="1" applyFill="1" applyBorder="1" applyAlignment="1">
      <alignment horizontal="right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3" fontId="8" fillId="0" borderId="4" xfId="0" applyNumberFormat="1" applyFont="1" applyFill="1" applyBorder="1" applyAlignment="1">
      <alignment horizontal="center" vertical="center" wrapText="1"/>
    </xf>
    <xf numFmtId="3" fontId="13" fillId="0" borderId="1" xfId="20" applyNumberFormat="1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3" fontId="1" fillId="0" borderId="0" xfId="0" applyNumberFormat="1" applyFont="1" applyFill="1" applyAlignment="1">
      <alignment horizontal="center" vertical="center" wrapText="1"/>
    </xf>
  </cellXfs>
  <cellStyles count="21">
    <cellStyle name="Bình thường 2" xfId="8" xr:uid="{33995ECF-A17A-40CF-879B-32039AC2DDF3}"/>
    <cellStyle name="Comma 116 2" xfId="18" xr:uid="{BD3563F1-05F9-41D3-89CE-369755546DCB}"/>
    <cellStyle name="Excel Built-in Normal" xfId="1" xr:uid="{00000000-0005-0000-0000-000001000000}"/>
    <cellStyle name="f_DT CTTT HTX Bao Xuyen_DTBS Quyet Tien" xfId="15" xr:uid="{94055694-0F36-493B-A959-349DB0302558}"/>
    <cellStyle name="KhoiLuongNumber" xfId="6" xr:uid="{00000000-0005-0000-0000-000002000000}"/>
    <cellStyle name="Normal" xfId="0" builtinId="0"/>
    <cellStyle name="Normal 116 2" xfId="10" xr:uid="{FE20D7FB-B17E-44CE-B7D5-25E8B07E016D}"/>
    <cellStyle name="Normal 118 2 2" xfId="17" xr:uid="{DEED6257-3EE7-4E22-ABA9-A85B6EE9FD6F}"/>
    <cellStyle name="Normal 19" xfId="2" xr:uid="{00000000-0005-0000-0000-000004000000}"/>
    <cellStyle name="Normal 19 2" xfId="11" xr:uid="{2D3557FA-8665-48BA-86FD-96ACF7E0FB9D}"/>
    <cellStyle name="Normal 2 2" xfId="9" xr:uid="{62BE15E9-C079-40B0-94EC-2FB0FB23EF53}"/>
    <cellStyle name="Normal 2 2 2" xfId="3" xr:uid="{00000000-0005-0000-0000-000005000000}"/>
    <cellStyle name="Normal 3 2 2" xfId="4" xr:uid="{00000000-0005-0000-0000-000006000000}"/>
    <cellStyle name="Normal 3 3" xfId="14" xr:uid="{AD6721E1-3BB7-4A32-805C-B296FE75C42F}"/>
    <cellStyle name="Normal 4" xfId="16" xr:uid="{67D5A394-63F9-48BE-9A5F-F9AACAF0B2B4}"/>
    <cellStyle name="Normal 4 2" xfId="19" xr:uid="{684265CC-4B6A-43B1-9C49-D800F3C937C2}"/>
    <cellStyle name="Normal 4 3" xfId="20" xr:uid="{14D5653E-C7D9-416A-B25E-079024668CF9}"/>
    <cellStyle name="Normal 5" xfId="13" xr:uid="{D78AC873-2A76-4BA2-A468-EF134CA2D7F5}"/>
    <cellStyle name="Normal 6" xfId="12" xr:uid="{DA92972B-A6E1-4002-91E9-BEC5A70C40E6}"/>
    <cellStyle name="NormalText" xfId="5" xr:uid="{00000000-0005-0000-0000-000008000000}"/>
    <cellStyle name="UnitText" xfId="7" xr:uid="{00000000-0005-0000-0000-000009000000}"/>
  </cellStyles>
  <dxfs count="0"/>
  <tableStyles count="0" defaultTableStyle="TableStyleMedium2" defaultPivotStyle="PivotStyleLight16"/>
  <colors>
    <mruColors>
      <color rgb="FF00FFFF"/>
      <color rgb="FF00FF00"/>
      <color rgb="FF0000FF"/>
      <color rgb="FF00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6B9A-7C53-4D80-B45E-3554FDC82BC3}">
  <sheetPr>
    <tabColor rgb="FF00FF00"/>
  </sheetPr>
  <dimension ref="A1:K52"/>
  <sheetViews>
    <sheetView tabSelected="1" view="pageBreakPreview" topLeftCell="A25" zoomScale="85" zoomScaleNormal="85" zoomScaleSheetLayoutView="85" workbookViewId="0">
      <selection activeCell="D33" sqref="D33"/>
    </sheetView>
  </sheetViews>
  <sheetFormatPr defaultColWidth="9.140625" defaultRowHeight="15.75"/>
  <cols>
    <col min="1" max="1" width="5.85546875" style="17" customWidth="1"/>
    <col min="2" max="2" width="67.5703125" style="18" customWidth="1"/>
    <col min="3" max="7" width="16.5703125" style="18" customWidth="1"/>
    <col min="8" max="8" width="10.7109375" style="2" customWidth="1"/>
    <col min="9" max="9" width="14.140625" style="19" customWidth="1"/>
    <col min="10" max="10" width="14.5703125" style="2" customWidth="1"/>
    <col min="11" max="11" width="16.7109375" style="2" customWidth="1"/>
    <col min="12" max="16384" width="9.140625" style="2"/>
  </cols>
  <sheetData>
    <row r="1" spans="1:11" ht="22.5" customHeight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4" customHeight="1">
      <c r="A3" s="4" t="s">
        <v>0</v>
      </c>
      <c r="B3" s="4" t="s">
        <v>18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2</v>
      </c>
      <c r="I3" s="4" t="s">
        <v>1</v>
      </c>
      <c r="J3" s="4" t="s">
        <v>16</v>
      </c>
      <c r="K3" s="4" t="s">
        <v>17</v>
      </c>
    </row>
    <row r="4" spans="1:11" ht="21" customHeight="1">
      <c r="A4" s="5" t="s">
        <v>5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11" ht="23.25" customHeight="1">
      <c r="A5" s="7">
        <v>1</v>
      </c>
      <c r="B5" s="8" t="s">
        <v>21</v>
      </c>
      <c r="C5" s="8"/>
      <c r="D5" s="8"/>
      <c r="E5" s="8"/>
      <c r="F5" s="8"/>
      <c r="G5" s="8"/>
      <c r="H5" s="9" t="s">
        <v>4</v>
      </c>
      <c r="I5" s="9">
        <v>24</v>
      </c>
      <c r="J5" s="10"/>
      <c r="K5" s="11">
        <f>+I5*J5</f>
        <v>0</v>
      </c>
    </row>
    <row r="6" spans="1:11" ht="23.25" customHeight="1">
      <c r="A6" s="7">
        <v>2</v>
      </c>
      <c r="B6" s="8" t="s">
        <v>22</v>
      </c>
      <c r="C6" s="8"/>
      <c r="D6" s="8"/>
      <c r="E6" s="8"/>
      <c r="F6" s="8"/>
      <c r="G6" s="8"/>
      <c r="H6" s="9" t="s">
        <v>4</v>
      </c>
      <c r="I6" s="9">
        <v>8</v>
      </c>
      <c r="J6" s="10"/>
      <c r="K6" s="11">
        <f t="shared" ref="K6:K26" si="0">+I6*J6</f>
        <v>0</v>
      </c>
    </row>
    <row r="7" spans="1:11" ht="23.25" customHeight="1">
      <c r="A7" s="7">
        <v>3</v>
      </c>
      <c r="B7" s="8" t="s">
        <v>23</v>
      </c>
      <c r="C7" s="8"/>
      <c r="D7" s="8"/>
      <c r="E7" s="8"/>
      <c r="F7" s="8"/>
      <c r="G7" s="8"/>
      <c r="H7" s="9" t="s">
        <v>4</v>
      </c>
      <c r="I7" s="9">
        <v>3</v>
      </c>
      <c r="J7" s="10"/>
      <c r="K7" s="11">
        <f t="shared" si="0"/>
        <v>0</v>
      </c>
    </row>
    <row r="8" spans="1:11" ht="23.25" customHeight="1">
      <c r="A8" s="7">
        <v>4</v>
      </c>
      <c r="B8" s="8" t="s">
        <v>24</v>
      </c>
      <c r="C8" s="8"/>
      <c r="D8" s="8"/>
      <c r="E8" s="8"/>
      <c r="F8" s="8"/>
      <c r="G8" s="8"/>
      <c r="H8" s="9" t="s">
        <v>4</v>
      </c>
      <c r="I8" s="9">
        <v>1</v>
      </c>
      <c r="J8" s="10"/>
      <c r="K8" s="11">
        <f t="shared" si="0"/>
        <v>0</v>
      </c>
    </row>
    <row r="9" spans="1:11" ht="23.25" customHeight="1">
      <c r="A9" s="7">
        <v>5</v>
      </c>
      <c r="B9" s="8" t="s">
        <v>25</v>
      </c>
      <c r="C9" s="8"/>
      <c r="D9" s="8"/>
      <c r="E9" s="8"/>
      <c r="F9" s="8"/>
      <c r="G9" s="8"/>
      <c r="H9" s="9" t="s">
        <v>4</v>
      </c>
      <c r="I9" s="9">
        <v>10</v>
      </c>
      <c r="J9" s="10"/>
      <c r="K9" s="11">
        <f t="shared" si="0"/>
        <v>0</v>
      </c>
    </row>
    <row r="10" spans="1:11" ht="23.25" customHeight="1">
      <c r="A10" s="7">
        <v>6</v>
      </c>
      <c r="B10" s="8" t="s">
        <v>26</v>
      </c>
      <c r="C10" s="8"/>
      <c r="D10" s="8"/>
      <c r="E10" s="8"/>
      <c r="F10" s="8"/>
      <c r="G10" s="8"/>
      <c r="H10" s="9" t="s">
        <v>4</v>
      </c>
      <c r="I10" s="9">
        <v>11</v>
      </c>
      <c r="J10" s="10"/>
      <c r="K10" s="11">
        <f t="shared" si="0"/>
        <v>0</v>
      </c>
    </row>
    <row r="11" spans="1:11" ht="23.25" customHeight="1">
      <c r="A11" s="7">
        <v>7</v>
      </c>
      <c r="B11" s="8" t="s">
        <v>27</v>
      </c>
      <c r="C11" s="8"/>
      <c r="D11" s="8"/>
      <c r="E11" s="8"/>
      <c r="F11" s="8"/>
      <c r="G11" s="8"/>
      <c r="H11" s="9" t="s">
        <v>4</v>
      </c>
      <c r="I11" s="9">
        <v>1</v>
      </c>
      <c r="J11" s="10"/>
      <c r="K11" s="11">
        <f t="shared" si="0"/>
        <v>0</v>
      </c>
    </row>
    <row r="12" spans="1:11" ht="23.25" customHeight="1">
      <c r="A12" s="7">
        <v>8</v>
      </c>
      <c r="B12" s="8" t="s">
        <v>28</v>
      </c>
      <c r="C12" s="8"/>
      <c r="D12" s="8"/>
      <c r="E12" s="8"/>
      <c r="F12" s="8"/>
      <c r="G12" s="8"/>
      <c r="H12" s="9" t="s">
        <v>4</v>
      </c>
      <c r="I12" s="9">
        <v>1</v>
      </c>
      <c r="J12" s="10"/>
      <c r="K12" s="11">
        <f t="shared" si="0"/>
        <v>0</v>
      </c>
    </row>
    <row r="13" spans="1:11" ht="23.25" customHeight="1">
      <c r="A13" s="7">
        <v>9</v>
      </c>
      <c r="B13" s="8" t="s">
        <v>29</v>
      </c>
      <c r="C13" s="8"/>
      <c r="D13" s="8"/>
      <c r="E13" s="8"/>
      <c r="F13" s="8"/>
      <c r="G13" s="8"/>
      <c r="H13" s="9" t="s">
        <v>4</v>
      </c>
      <c r="I13" s="9">
        <v>16</v>
      </c>
      <c r="J13" s="10"/>
      <c r="K13" s="11">
        <f t="shared" si="0"/>
        <v>0</v>
      </c>
    </row>
    <row r="14" spans="1:11" ht="23.25" customHeight="1">
      <c r="A14" s="7">
        <v>10</v>
      </c>
      <c r="B14" s="8" t="s">
        <v>30</v>
      </c>
      <c r="C14" s="8"/>
      <c r="D14" s="8"/>
      <c r="E14" s="8"/>
      <c r="F14" s="8"/>
      <c r="G14" s="8"/>
      <c r="H14" s="9" t="s">
        <v>4</v>
      </c>
      <c r="I14" s="9">
        <v>7</v>
      </c>
      <c r="J14" s="10"/>
      <c r="K14" s="11">
        <f t="shared" si="0"/>
        <v>0</v>
      </c>
    </row>
    <row r="15" spans="1:11" ht="23.25" customHeight="1">
      <c r="A15" s="7">
        <v>11</v>
      </c>
      <c r="B15" s="8" t="s">
        <v>31</v>
      </c>
      <c r="C15" s="8"/>
      <c r="D15" s="8"/>
      <c r="E15" s="8"/>
      <c r="F15" s="8"/>
      <c r="G15" s="8"/>
      <c r="H15" s="9" t="s">
        <v>4</v>
      </c>
      <c r="I15" s="9">
        <v>2</v>
      </c>
      <c r="J15" s="10"/>
      <c r="K15" s="11">
        <f t="shared" si="0"/>
        <v>0</v>
      </c>
    </row>
    <row r="16" spans="1:11" ht="23.25" customHeight="1">
      <c r="A16" s="7">
        <v>12</v>
      </c>
      <c r="B16" s="8" t="s">
        <v>32</v>
      </c>
      <c r="C16" s="8"/>
      <c r="D16" s="8"/>
      <c r="E16" s="8"/>
      <c r="F16" s="8"/>
      <c r="G16" s="8"/>
      <c r="H16" s="9" t="s">
        <v>4</v>
      </c>
      <c r="I16" s="9">
        <v>6</v>
      </c>
      <c r="J16" s="10"/>
      <c r="K16" s="11">
        <f t="shared" si="0"/>
        <v>0</v>
      </c>
    </row>
    <row r="17" spans="1:11" ht="23.25" customHeight="1">
      <c r="A17" s="7">
        <v>13</v>
      </c>
      <c r="B17" s="8" t="s">
        <v>33</v>
      </c>
      <c r="C17" s="8"/>
      <c r="D17" s="8"/>
      <c r="E17" s="8"/>
      <c r="F17" s="8"/>
      <c r="G17" s="8"/>
      <c r="H17" s="9" t="s">
        <v>4</v>
      </c>
      <c r="I17" s="9">
        <v>14</v>
      </c>
      <c r="J17" s="10"/>
      <c r="K17" s="11">
        <f t="shared" si="0"/>
        <v>0</v>
      </c>
    </row>
    <row r="18" spans="1:11" ht="23.25" customHeight="1">
      <c r="A18" s="7">
        <v>14</v>
      </c>
      <c r="B18" s="8" t="s">
        <v>34</v>
      </c>
      <c r="C18" s="8"/>
      <c r="D18" s="8"/>
      <c r="E18" s="8"/>
      <c r="F18" s="8"/>
      <c r="G18" s="8"/>
      <c r="H18" s="9" t="s">
        <v>4</v>
      </c>
      <c r="I18" s="9">
        <v>6</v>
      </c>
      <c r="J18" s="10"/>
      <c r="K18" s="11">
        <f t="shared" si="0"/>
        <v>0</v>
      </c>
    </row>
    <row r="19" spans="1:11" ht="23.25" customHeight="1">
      <c r="A19" s="7">
        <v>15</v>
      </c>
      <c r="B19" s="8" t="s">
        <v>35</v>
      </c>
      <c r="C19" s="8"/>
      <c r="D19" s="8"/>
      <c r="E19" s="8"/>
      <c r="F19" s="8"/>
      <c r="G19" s="8"/>
      <c r="H19" s="9" t="s">
        <v>4</v>
      </c>
      <c r="I19" s="9">
        <v>4</v>
      </c>
      <c r="J19" s="10"/>
      <c r="K19" s="11">
        <f t="shared" si="0"/>
        <v>0</v>
      </c>
    </row>
    <row r="20" spans="1:11" ht="23.25" customHeight="1">
      <c r="A20" s="7">
        <v>16</v>
      </c>
      <c r="B20" s="8" t="s">
        <v>36</v>
      </c>
      <c r="C20" s="8"/>
      <c r="D20" s="8"/>
      <c r="E20" s="8"/>
      <c r="F20" s="8"/>
      <c r="G20" s="8"/>
      <c r="H20" s="9" t="s">
        <v>4</v>
      </c>
      <c r="I20" s="9">
        <v>10</v>
      </c>
      <c r="J20" s="10"/>
      <c r="K20" s="11">
        <f t="shared" si="0"/>
        <v>0</v>
      </c>
    </row>
    <row r="21" spans="1:11" ht="23.25" customHeight="1">
      <c r="A21" s="7">
        <v>17</v>
      </c>
      <c r="B21" s="8" t="s">
        <v>37</v>
      </c>
      <c r="C21" s="8"/>
      <c r="D21" s="8"/>
      <c r="E21" s="8"/>
      <c r="F21" s="8"/>
      <c r="G21" s="8"/>
      <c r="H21" s="9" t="s">
        <v>4</v>
      </c>
      <c r="I21" s="9">
        <v>12</v>
      </c>
      <c r="J21" s="10"/>
      <c r="K21" s="11">
        <f t="shared" si="0"/>
        <v>0</v>
      </c>
    </row>
    <row r="22" spans="1:11" ht="23.25" customHeight="1">
      <c r="A22" s="7">
        <v>18</v>
      </c>
      <c r="B22" s="8" t="s">
        <v>38</v>
      </c>
      <c r="C22" s="8"/>
      <c r="D22" s="8"/>
      <c r="E22" s="8"/>
      <c r="F22" s="8"/>
      <c r="G22" s="8"/>
      <c r="H22" s="9" t="s">
        <v>4</v>
      </c>
      <c r="I22" s="9">
        <v>7</v>
      </c>
      <c r="J22" s="10"/>
      <c r="K22" s="11">
        <f t="shared" si="0"/>
        <v>0</v>
      </c>
    </row>
    <row r="23" spans="1:11" ht="23.25" customHeight="1">
      <c r="A23" s="7">
        <v>19</v>
      </c>
      <c r="B23" s="8" t="s">
        <v>39</v>
      </c>
      <c r="C23" s="8"/>
      <c r="D23" s="8"/>
      <c r="E23" s="8"/>
      <c r="F23" s="8"/>
      <c r="G23" s="8"/>
      <c r="H23" s="9" t="s">
        <v>4</v>
      </c>
      <c r="I23" s="9">
        <v>10</v>
      </c>
      <c r="J23" s="10"/>
      <c r="K23" s="11">
        <f t="shared" si="0"/>
        <v>0</v>
      </c>
    </row>
    <row r="24" spans="1:11" ht="23.25" customHeight="1">
      <c r="A24" s="7">
        <v>20</v>
      </c>
      <c r="B24" s="8" t="s">
        <v>40</v>
      </c>
      <c r="C24" s="8"/>
      <c r="D24" s="8"/>
      <c r="E24" s="8"/>
      <c r="F24" s="8"/>
      <c r="G24" s="8"/>
      <c r="H24" s="9" t="s">
        <v>4</v>
      </c>
      <c r="I24" s="9">
        <v>2</v>
      </c>
      <c r="J24" s="10"/>
      <c r="K24" s="11">
        <f t="shared" si="0"/>
        <v>0</v>
      </c>
    </row>
    <row r="25" spans="1:11" ht="23.25" customHeight="1">
      <c r="A25" s="7">
        <v>21</v>
      </c>
      <c r="B25" s="8" t="s">
        <v>41</v>
      </c>
      <c r="C25" s="8"/>
      <c r="D25" s="8"/>
      <c r="E25" s="8"/>
      <c r="F25" s="8"/>
      <c r="G25" s="8"/>
      <c r="H25" s="9" t="s">
        <v>4</v>
      </c>
      <c r="I25" s="9">
        <v>2</v>
      </c>
      <c r="J25" s="10"/>
      <c r="K25" s="11">
        <f t="shared" si="0"/>
        <v>0</v>
      </c>
    </row>
    <row r="26" spans="1:11" ht="23.25" customHeight="1">
      <c r="A26" s="7">
        <v>22</v>
      </c>
      <c r="B26" s="8" t="s">
        <v>42</v>
      </c>
      <c r="C26" s="8"/>
      <c r="D26" s="8"/>
      <c r="E26" s="8"/>
      <c r="F26" s="8"/>
      <c r="G26" s="8"/>
      <c r="H26" s="9" t="s">
        <v>67</v>
      </c>
      <c r="I26" s="9">
        <v>8</v>
      </c>
      <c r="J26" s="10"/>
      <c r="K26" s="11">
        <f t="shared" si="0"/>
        <v>0</v>
      </c>
    </row>
    <row r="27" spans="1:11" ht="23.25" customHeight="1">
      <c r="A27" s="7">
        <v>23</v>
      </c>
      <c r="B27" s="8" t="s">
        <v>43</v>
      </c>
      <c r="C27" s="8"/>
      <c r="D27" s="8"/>
      <c r="E27" s="8"/>
      <c r="F27" s="8"/>
      <c r="G27" s="8"/>
      <c r="H27" s="9" t="s">
        <v>68</v>
      </c>
      <c r="I27" s="9">
        <v>6</v>
      </c>
      <c r="J27" s="10"/>
      <c r="K27" s="11">
        <f t="shared" ref="K27:K50" si="1">+I27*J27</f>
        <v>0</v>
      </c>
    </row>
    <row r="28" spans="1:11" ht="23.25" customHeight="1">
      <c r="A28" s="7">
        <v>24</v>
      </c>
      <c r="B28" s="8" t="s">
        <v>44</v>
      </c>
      <c r="C28" s="8"/>
      <c r="D28" s="8"/>
      <c r="E28" s="8"/>
      <c r="F28" s="8"/>
      <c r="G28" s="8"/>
      <c r="H28" s="9" t="s">
        <v>69</v>
      </c>
      <c r="I28" s="9">
        <v>1</v>
      </c>
      <c r="J28" s="10"/>
      <c r="K28" s="11">
        <f t="shared" si="1"/>
        <v>0</v>
      </c>
    </row>
    <row r="29" spans="1:11" ht="23.25" customHeight="1">
      <c r="A29" s="7">
        <v>25</v>
      </c>
      <c r="B29" s="8" t="s">
        <v>45</v>
      </c>
      <c r="C29" s="8"/>
      <c r="D29" s="8"/>
      <c r="E29" s="8"/>
      <c r="F29" s="8"/>
      <c r="G29" s="8"/>
      <c r="H29" s="9" t="s">
        <v>70</v>
      </c>
      <c r="I29" s="9">
        <v>1</v>
      </c>
      <c r="J29" s="10"/>
      <c r="K29" s="11">
        <f t="shared" si="1"/>
        <v>0</v>
      </c>
    </row>
    <row r="30" spans="1:11" ht="23.25" customHeight="1">
      <c r="A30" s="7">
        <v>26</v>
      </c>
      <c r="B30" s="8" t="s">
        <v>46</v>
      </c>
      <c r="C30" s="8"/>
      <c r="D30" s="8"/>
      <c r="E30" s="8"/>
      <c r="F30" s="8"/>
      <c r="G30" s="8"/>
      <c r="H30" s="9" t="s">
        <v>70</v>
      </c>
      <c r="I30" s="9">
        <v>5</v>
      </c>
      <c r="J30" s="10"/>
      <c r="K30" s="11">
        <f t="shared" si="1"/>
        <v>0</v>
      </c>
    </row>
    <row r="31" spans="1:11" ht="23.25" customHeight="1">
      <c r="A31" s="7">
        <v>27</v>
      </c>
      <c r="B31" s="8" t="s">
        <v>47</v>
      </c>
      <c r="C31" s="8"/>
      <c r="D31" s="8"/>
      <c r="E31" s="8"/>
      <c r="F31" s="8"/>
      <c r="G31" s="8"/>
      <c r="H31" s="9" t="s">
        <v>67</v>
      </c>
      <c r="I31" s="9">
        <v>1</v>
      </c>
      <c r="J31" s="10"/>
      <c r="K31" s="11">
        <f t="shared" si="1"/>
        <v>0</v>
      </c>
    </row>
    <row r="32" spans="1:11" ht="23.25" customHeight="1">
      <c r="A32" s="7">
        <v>28</v>
      </c>
      <c r="B32" s="8" t="s">
        <v>48</v>
      </c>
      <c r="C32" s="8"/>
      <c r="D32" s="8"/>
      <c r="E32" s="8"/>
      <c r="F32" s="8"/>
      <c r="G32" s="8"/>
      <c r="H32" s="9" t="s">
        <v>70</v>
      </c>
      <c r="I32" s="9">
        <v>40</v>
      </c>
      <c r="J32" s="10"/>
      <c r="K32" s="11">
        <f t="shared" si="1"/>
        <v>0</v>
      </c>
    </row>
    <row r="33" spans="1:11" ht="23.25" customHeight="1">
      <c r="A33" s="7">
        <v>29</v>
      </c>
      <c r="B33" s="8" t="s">
        <v>49</v>
      </c>
      <c r="C33" s="8"/>
      <c r="D33" s="8"/>
      <c r="E33" s="8"/>
      <c r="F33" s="8"/>
      <c r="G33" s="8"/>
      <c r="H33" s="9" t="s">
        <v>70</v>
      </c>
      <c r="I33" s="9">
        <v>10</v>
      </c>
      <c r="J33" s="10"/>
      <c r="K33" s="11">
        <f t="shared" si="1"/>
        <v>0</v>
      </c>
    </row>
    <row r="34" spans="1:11" ht="23.25" customHeight="1">
      <c r="A34" s="7">
        <v>30</v>
      </c>
      <c r="B34" s="8" t="s">
        <v>50</v>
      </c>
      <c r="C34" s="8"/>
      <c r="D34" s="8"/>
      <c r="E34" s="8"/>
      <c r="F34" s="8"/>
      <c r="G34" s="8"/>
      <c r="H34" s="9" t="s">
        <v>71</v>
      </c>
      <c r="I34" s="9">
        <v>50</v>
      </c>
      <c r="J34" s="10"/>
      <c r="K34" s="11">
        <f t="shared" si="1"/>
        <v>0</v>
      </c>
    </row>
    <row r="35" spans="1:11" ht="23.25" customHeight="1">
      <c r="A35" s="7">
        <v>31</v>
      </c>
      <c r="B35" s="8" t="s">
        <v>51</v>
      </c>
      <c r="C35" s="8"/>
      <c r="D35" s="8"/>
      <c r="E35" s="8"/>
      <c r="F35" s="8"/>
      <c r="G35" s="8"/>
      <c r="H35" s="9" t="s">
        <v>71</v>
      </c>
      <c r="I35" s="9">
        <v>320</v>
      </c>
      <c r="J35" s="10"/>
      <c r="K35" s="11">
        <f t="shared" si="1"/>
        <v>0</v>
      </c>
    </row>
    <row r="36" spans="1:11" ht="23.25" customHeight="1">
      <c r="A36" s="7">
        <v>32</v>
      </c>
      <c r="B36" s="8" t="s">
        <v>52</v>
      </c>
      <c r="C36" s="8"/>
      <c r="D36" s="8"/>
      <c r="E36" s="8"/>
      <c r="F36" s="8"/>
      <c r="G36" s="8"/>
      <c r="H36" s="9" t="s">
        <v>71</v>
      </c>
      <c r="I36" s="9">
        <v>710</v>
      </c>
      <c r="J36" s="10"/>
      <c r="K36" s="11">
        <f t="shared" si="1"/>
        <v>0</v>
      </c>
    </row>
    <row r="37" spans="1:11" ht="23.25" customHeight="1">
      <c r="A37" s="7">
        <v>33</v>
      </c>
      <c r="B37" s="8" t="s">
        <v>53</v>
      </c>
      <c r="C37" s="8"/>
      <c r="D37" s="8"/>
      <c r="E37" s="8"/>
      <c r="F37" s="8"/>
      <c r="G37" s="8"/>
      <c r="H37" s="9" t="s">
        <v>72</v>
      </c>
      <c r="I37" s="9">
        <v>1</v>
      </c>
      <c r="J37" s="10"/>
      <c r="K37" s="11">
        <f t="shared" si="1"/>
        <v>0</v>
      </c>
    </row>
    <row r="38" spans="1:11" ht="23.25" customHeight="1">
      <c r="A38" s="7">
        <v>34</v>
      </c>
      <c r="B38" s="8" t="s">
        <v>54</v>
      </c>
      <c r="C38" s="8"/>
      <c r="D38" s="8"/>
      <c r="E38" s="8"/>
      <c r="F38" s="8"/>
      <c r="G38" s="8"/>
      <c r="H38" s="9" t="s">
        <v>4</v>
      </c>
      <c r="I38" s="9">
        <v>19</v>
      </c>
      <c r="J38" s="10"/>
      <c r="K38" s="11">
        <f t="shared" si="1"/>
        <v>0</v>
      </c>
    </row>
    <row r="39" spans="1:11" ht="23.25" customHeight="1">
      <c r="A39" s="7">
        <v>35</v>
      </c>
      <c r="B39" s="8" t="s">
        <v>55</v>
      </c>
      <c r="C39" s="8"/>
      <c r="D39" s="8"/>
      <c r="E39" s="8"/>
      <c r="F39" s="8"/>
      <c r="G39" s="8"/>
      <c r="H39" s="9" t="s">
        <v>71</v>
      </c>
      <c r="I39" s="9">
        <v>1520</v>
      </c>
      <c r="J39" s="10"/>
      <c r="K39" s="11">
        <f t="shared" si="1"/>
        <v>0</v>
      </c>
    </row>
    <row r="40" spans="1:11" ht="23.25" customHeight="1">
      <c r="A40" s="7">
        <v>36</v>
      </c>
      <c r="B40" s="8" t="s">
        <v>56</v>
      </c>
      <c r="C40" s="8"/>
      <c r="D40" s="8"/>
      <c r="E40" s="8"/>
      <c r="F40" s="8"/>
      <c r="G40" s="8"/>
      <c r="H40" s="9" t="s">
        <v>71</v>
      </c>
      <c r="I40" s="9">
        <v>290</v>
      </c>
      <c r="J40" s="10"/>
      <c r="K40" s="11">
        <f t="shared" si="1"/>
        <v>0</v>
      </c>
    </row>
    <row r="41" spans="1:11" ht="23.25" customHeight="1">
      <c r="A41" s="7">
        <v>37</v>
      </c>
      <c r="B41" s="8" t="s">
        <v>57</v>
      </c>
      <c r="C41" s="8"/>
      <c r="D41" s="8"/>
      <c r="E41" s="8"/>
      <c r="F41" s="8"/>
      <c r="G41" s="8"/>
      <c r="H41" s="9" t="s">
        <v>70</v>
      </c>
      <c r="I41" s="9">
        <v>1</v>
      </c>
      <c r="J41" s="10"/>
      <c r="K41" s="11">
        <f t="shared" si="1"/>
        <v>0</v>
      </c>
    </row>
    <row r="42" spans="1:11" ht="23.25" customHeight="1">
      <c r="A42" s="7">
        <v>38</v>
      </c>
      <c r="B42" s="8" t="s">
        <v>58</v>
      </c>
      <c r="C42" s="8"/>
      <c r="D42" s="8"/>
      <c r="E42" s="8"/>
      <c r="F42" s="8"/>
      <c r="G42" s="8"/>
      <c r="H42" s="9" t="s">
        <v>4</v>
      </c>
      <c r="I42" s="9">
        <v>1</v>
      </c>
      <c r="J42" s="10"/>
      <c r="K42" s="11">
        <f t="shared" si="1"/>
        <v>0</v>
      </c>
    </row>
    <row r="43" spans="1:11" ht="23.25" customHeight="1">
      <c r="A43" s="7">
        <v>39</v>
      </c>
      <c r="B43" s="8" t="s">
        <v>59</v>
      </c>
      <c r="C43" s="8"/>
      <c r="D43" s="8"/>
      <c r="E43" s="8"/>
      <c r="F43" s="8"/>
      <c r="G43" s="8"/>
      <c r="H43" s="9" t="s">
        <v>4</v>
      </c>
      <c r="I43" s="9">
        <v>1</v>
      </c>
      <c r="J43" s="10"/>
      <c r="K43" s="11">
        <f t="shared" si="1"/>
        <v>0</v>
      </c>
    </row>
    <row r="44" spans="1:11" ht="23.25" customHeight="1">
      <c r="A44" s="7">
        <v>40</v>
      </c>
      <c r="B44" s="8" t="s">
        <v>60</v>
      </c>
      <c r="C44" s="8"/>
      <c r="D44" s="8"/>
      <c r="E44" s="8"/>
      <c r="F44" s="8"/>
      <c r="G44" s="8"/>
      <c r="H44" s="9" t="s">
        <v>4</v>
      </c>
      <c r="I44" s="9">
        <v>1</v>
      </c>
      <c r="J44" s="10"/>
      <c r="K44" s="11">
        <f t="shared" si="1"/>
        <v>0</v>
      </c>
    </row>
    <row r="45" spans="1:11" ht="23.25" customHeight="1">
      <c r="A45" s="7">
        <v>41</v>
      </c>
      <c r="B45" s="8" t="s">
        <v>61</v>
      </c>
      <c r="C45" s="8"/>
      <c r="D45" s="8"/>
      <c r="E45" s="8"/>
      <c r="F45" s="8"/>
      <c r="G45" s="8"/>
      <c r="H45" s="9" t="s">
        <v>4</v>
      </c>
      <c r="I45" s="9">
        <v>2</v>
      </c>
      <c r="J45" s="10"/>
      <c r="K45" s="11">
        <f t="shared" si="1"/>
        <v>0</v>
      </c>
    </row>
    <row r="46" spans="1:11" ht="23.25" customHeight="1">
      <c r="A46" s="7">
        <v>42</v>
      </c>
      <c r="B46" s="8" t="s">
        <v>62</v>
      </c>
      <c r="C46" s="8"/>
      <c r="D46" s="8"/>
      <c r="E46" s="8"/>
      <c r="F46" s="8"/>
      <c r="G46" s="8"/>
      <c r="H46" s="9" t="s">
        <v>73</v>
      </c>
      <c r="I46" s="9">
        <v>40</v>
      </c>
      <c r="J46" s="10"/>
      <c r="K46" s="11">
        <f t="shared" si="1"/>
        <v>0</v>
      </c>
    </row>
    <row r="47" spans="1:11" ht="23.25" customHeight="1">
      <c r="A47" s="7">
        <v>43</v>
      </c>
      <c r="B47" s="8" t="s">
        <v>63</v>
      </c>
      <c r="C47" s="8"/>
      <c r="D47" s="8"/>
      <c r="E47" s="8"/>
      <c r="F47" s="8"/>
      <c r="G47" s="8"/>
      <c r="H47" s="9" t="s">
        <v>4</v>
      </c>
      <c r="I47" s="9">
        <v>19</v>
      </c>
      <c r="J47" s="10"/>
      <c r="K47" s="11">
        <f t="shared" si="1"/>
        <v>0</v>
      </c>
    </row>
    <row r="48" spans="1:11" ht="23.25" customHeight="1">
      <c r="A48" s="7">
        <v>44</v>
      </c>
      <c r="B48" s="8" t="s">
        <v>64</v>
      </c>
      <c r="C48" s="8"/>
      <c r="D48" s="8"/>
      <c r="E48" s="8"/>
      <c r="F48" s="8"/>
      <c r="G48" s="8"/>
      <c r="H48" s="9" t="s">
        <v>74</v>
      </c>
      <c r="I48" s="9">
        <v>1</v>
      </c>
      <c r="J48" s="10"/>
      <c r="K48" s="11">
        <f t="shared" si="1"/>
        <v>0</v>
      </c>
    </row>
    <row r="49" spans="1:11" ht="23.25" customHeight="1">
      <c r="A49" s="7">
        <v>45</v>
      </c>
      <c r="B49" s="8" t="s">
        <v>65</v>
      </c>
      <c r="C49" s="8"/>
      <c r="D49" s="8"/>
      <c r="E49" s="8"/>
      <c r="F49" s="8"/>
      <c r="G49" s="8"/>
      <c r="H49" s="9" t="s">
        <v>70</v>
      </c>
      <c r="I49" s="9">
        <v>101</v>
      </c>
      <c r="J49" s="10"/>
      <c r="K49" s="11">
        <f t="shared" si="1"/>
        <v>0</v>
      </c>
    </row>
    <row r="50" spans="1:11" ht="23.25" customHeight="1">
      <c r="A50" s="7">
        <v>46</v>
      </c>
      <c r="B50" s="8" t="s">
        <v>66</v>
      </c>
      <c r="C50" s="8"/>
      <c r="D50" s="8"/>
      <c r="E50" s="8"/>
      <c r="F50" s="8"/>
      <c r="G50" s="8"/>
      <c r="H50" s="9" t="s">
        <v>70</v>
      </c>
      <c r="I50" s="9">
        <v>621</v>
      </c>
      <c r="J50" s="10"/>
      <c r="K50" s="11">
        <f t="shared" si="1"/>
        <v>0</v>
      </c>
    </row>
    <row r="51" spans="1:11" ht="30.75" customHeight="1">
      <c r="A51" s="12" t="s">
        <v>19</v>
      </c>
      <c r="B51" s="13"/>
      <c r="C51" s="13"/>
      <c r="D51" s="13"/>
      <c r="E51" s="13"/>
      <c r="F51" s="13"/>
      <c r="G51" s="13"/>
      <c r="H51" s="13"/>
      <c r="I51" s="13"/>
      <c r="J51" s="14"/>
      <c r="K51" s="15">
        <f>+SUM(K5:K50)</f>
        <v>0</v>
      </c>
    </row>
    <row r="52" spans="1:11" ht="31.5" customHeight="1">
      <c r="A52" s="16" t="s">
        <v>20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</sheetData>
  <mergeCells count="4">
    <mergeCell ref="A1:K1"/>
    <mergeCell ref="A2:K2"/>
    <mergeCell ref="A52:K52"/>
    <mergeCell ref="A51:J51"/>
  </mergeCells>
  <pageMargins left="0.71" right="0.196850393700787" top="0.59055118110236204" bottom="0.59" header="0.31496062992126" footer="0.27"/>
  <pageSetup paperSize="9" scale="90" orientation="landscape" r:id="rId1"/>
  <headerFooter>
    <oddFooter>&amp;C&amp;A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 giá dự thầu</vt:lpstr>
      <vt:lpstr>'TH giá dự thầu'!Print_Area</vt:lpstr>
      <vt:lpstr>'TH giá dự thầu'!Print_Titles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 Vũ</cp:lastModifiedBy>
  <cp:lastPrinted>2026-06-03T00:16:50Z</cp:lastPrinted>
  <dcterms:created xsi:type="dcterms:W3CDTF">2017-06-20T10:22:30Z</dcterms:created>
  <dcterms:modified xsi:type="dcterms:W3CDTF">2026-06-26T01:38:07Z</dcterms:modified>
</cp:coreProperties>
</file>